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Interview\Excel\"/>
    </mc:Choice>
  </mc:AlternateContent>
  <xr:revisionPtr revIDLastSave="0" documentId="8_{D57BE5A9-2031-4805-8626-41FB271DECDC}" xr6:coauthVersionLast="47" xr6:coauthVersionMax="47" xr10:uidLastSave="{00000000-0000-0000-0000-000000000000}"/>
  <bookViews>
    <workbookView xWindow="-120" yWindow="-120" windowWidth="29040" windowHeight="15720" activeTab="3" xr2:uid="{FA8488CD-7171-4BAB-BE86-970BC132FF5B}"/>
  </bookViews>
  <sheets>
    <sheet name="Raw" sheetId="4" r:id="rId1"/>
    <sheet name="Lookup" sheetId="3" r:id="rId2"/>
    <sheet name="Clean" sheetId="5" r:id="rId3"/>
    <sheet name="Summary" sheetId="7" r:id="rId4"/>
  </sheets>
  <definedNames>
    <definedName name="ExternalData_2" localSheetId="1" hidden="1">Lookup!$A$1:$C$5</definedName>
    <definedName name="ExternalData_3" localSheetId="2" hidden="1">Clean!$A$1:$F$13</definedName>
    <definedName name="ExternalData_3" localSheetId="0" hidden="1">Raw!$A$1:$F$14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7" l="1"/>
  <c r="F2" i="7"/>
  <c r="E2" i="7"/>
  <c r="H2" i="5"/>
  <c r="H3" i="5"/>
  <c r="H4" i="5"/>
  <c r="H5" i="5"/>
  <c r="H6" i="5"/>
  <c r="H7" i="5"/>
  <c r="H8" i="5"/>
  <c r="H9" i="5"/>
  <c r="H10" i="5"/>
  <c r="H11" i="5"/>
  <c r="H12" i="5"/>
  <c r="H13" i="5"/>
  <c r="G2" i="5"/>
  <c r="G3" i="5"/>
  <c r="G4" i="5"/>
  <c r="G5" i="5"/>
  <c r="G6" i="5"/>
  <c r="G7" i="5"/>
  <c r="G8" i="5"/>
  <c r="G9" i="5"/>
  <c r="G10" i="5"/>
  <c r="G11" i="5"/>
  <c r="G12" i="5"/>
  <c r="G13" i="5"/>
  <c r="C20" i="5"/>
  <c r="C18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24E96F-4376-4D8B-BD00-59F9B2F3AE98}" keepAlive="1" name="Query - teams" description="Connection to the 'teams' query in the workbook." type="5" refreshedVersion="8" background="1" saveData="1">
    <dbPr connection="Provider=Microsoft.Mashup.OleDb.1;Data Source=$Workbook$;Location=teams;Extended Properties=&quot;&quot;" command="SELECT * FROM [teams]"/>
  </connection>
  <connection id="2" xr16:uid="{B2EFDEFB-C014-4FC7-9109-E52E6A206B36}" keepAlive="1" name="Query - tickets" description="Connection to the 'tickets' query in the workbook." type="5" refreshedVersion="0" background="1">
    <dbPr connection="Provider=Microsoft.Mashup.OleDb.1;Data Source=$Workbook$;Location=tickets;Extended Properties=&quot;&quot;" command="SELECT * FROM [tickets]"/>
  </connection>
  <connection id="3" xr16:uid="{0C5EBC68-0AD3-4974-9539-169628410F8D}" keepAlive="1" name="Query - tickets (2)" description="Connection to the 'tickets (2)' query in the workbook." type="5" refreshedVersion="8" background="1" saveData="1">
    <dbPr connection="Provider=Microsoft.Mashup.OleDb.1;Data Source=$Workbook$;Location=&quot;tickets (2)&quot;;Extended Properties=&quot;&quot;" command="SELECT * FROM [tickets (2)]"/>
  </connection>
  <connection id="4" xr16:uid="{3BAEBB44-2A4A-42E0-B1D8-52FC13B230A9}" keepAlive="1" name="Query - tickets (3)" description="Connection to the 'tickets (3)' query in the workbook." type="5" refreshedVersion="8" background="1" saveData="1">
    <dbPr connection="Provider=Microsoft.Mashup.OleDb.1;Data Source=$Workbook$;Location=&quot;tickets (3)&quot;;Extended Properties=&quot;&quot;" command="SELECT * FROM [tickets (3)]"/>
  </connection>
</connections>
</file>

<file path=xl/sharedStrings.xml><?xml version="1.0" encoding="utf-8"?>
<sst xmlns="http://schemas.openxmlformats.org/spreadsheetml/2006/main" count="143" uniqueCount="35">
  <si>
    <t>ticket_id</t>
  </si>
  <si>
    <t>month</t>
  </si>
  <si>
    <t>team_id</t>
  </si>
  <si>
    <t>channel</t>
  </si>
  <si>
    <t>resolution_hours</t>
  </si>
  <si>
    <t>satisfaction</t>
  </si>
  <si>
    <t>Jan</t>
  </si>
  <si>
    <t>T1</t>
  </si>
  <si>
    <t>Email</t>
  </si>
  <si>
    <t>4</t>
  </si>
  <si>
    <t>T2</t>
  </si>
  <si>
    <t>Chat</t>
  </si>
  <si>
    <t>3</t>
  </si>
  <si>
    <t>T3</t>
  </si>
  <si>
    <t>Phone</t>
  </si>
  <si>
    <t>2</t>
  </si>
  <si>
    <t>T4</t>
  </si>
  <si>
    <t>Feb</t>
  </si>
  <si>
    <t>5</t>
  </si>
  <si>
    <t>Mar</t>
  </si>
  <si>
    <t>team</t>
  </si>
  <si>
    <t>department</t>
  </si>
  <si>
    <t>AccountCare</t>
  </si>
  <si>
    <t>Service</t>
  </si>
  <si>
    <t>BillingHelp</t>
  </si>
  <si>
    <t>AppSupport</t>
  </si>
  <si>
    <t>Technical</t>
  </si>
  <si>
    <t>DeviceHelp</t>
  </si>
  <si>
    <t>Before Row Count</t>
  </si>
  <si>
    <t>After Row Count</t>
  </si>
  <si>
    <t>breach_flag</t>
  </si>
  <si>
    <t>Number Of Breached Tickets</t>
  </si>
  <si>
    <t>Category</t>
  </si>
  <si>
    <t>Grand Total</t>
  </si>
  <si>
    <t>Average of resolution_hours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</si>
</sst>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1" fillId="0" borderId="2" xfId="0" applyNumberFormat="1" applyFont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3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31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[analysis.xlsx]Summary!PivotTable2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Resolution Hours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Summary!$B$5:$B$6</c:f>
              <c:strCache>
                <c:ptCount val="1"/>
                <c:pt idx="0">
                  <c:v>Service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Summary!$A$7:$A$10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Summary!$B$7:$B$10</c:f>
              <c:numCache>
                <c:formatCode>0</c:formatCode>
                <c:ptCount val="3"/>
                <c:pt idx="0">
                  <c:v>20</c:v>
                </c:pt>
                <c:pt idx="1">
                  <c:v>19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97-4879-A0D9-70E7AA50F75A}"/>
            </c:ext>
          </c:extLst>
        </c:ser>
        <c:ser>
          <c:idx val="1"/>
          <c:order val="1"/>
          <c:tx>
            <c:strRef>
              <c:f>Summary!$C$5:$C$6</c:f>
              <c:strCache>
                <c:ptCount val="1"/>
                <c:pt idx="0">
                  <c:v>Technical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Summary!$A$7:$A$10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Summary!$C$7:$C$10</c:f>
              <c:numCache>
                <c:formatCode>0</c:formatCode>
                <c:ptCount val="3"/>
                <c:pt idx="0">
                  <c:v>28</c:v>
                </c:pt>
                <c:pt idx="1">
                  <c:v>29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97-4879-A0D9-70E7AA50F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07183536"/>
        <c:axId val="1074199408"/>
        <c:axId val="0"/>
      </c:bar3DChart>
      <c:catAx>
        <c:axId val="1107183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199408"/>
        <c:crosses val="autoZero"/>
        <c:auto val="1"/>
        <c:lblAlgn val="ctr"/>
        <c:lblOffset val="100"/>
        <c:noMultiLvlLbl val="0"/>
      </c:catAx>
      <c:valAx>
        <c:axId val="107419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</a:t>
                </a:r>
                <a:r>
                  <a:rPr lang="en-IN" baseline="0"/>
                  <a:t> Hours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18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8</xdr:row>
      <xdr:rowOff>85725</xdr:rowOff>
    </xdr:from>
    <xdr:to>
      <xdr:col>14</xdr:col>
      <xdr:colOff>295275</xdr:colOff>
      <xdr:row>27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6DC559-B880-8B04-0F46-E765E85287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98.450749305557" createdVersion="8" refreshedVersion="8" minRefreshableVersion="3" recordCount="12" xr:uid="{C491896E-65F5-4EA5-99FA-DA25FAF8C42F}">
  <cacheSource type="worksheet">
    <worksheetSource name="tickets__25"/>
  </cacheSource>
  <cacheFields count="8">
    <cacheField name="ticket_id" numFmtId="1">
      <sharedItems containsSemiMixedTypes="0" containsString="0" containsNumber="1" containsInteger="1" minValue="1" maxValue="12"/>
    </cacheField>
    <cacheField name="month" numFmtId="49">
      <sharedItems count="3">
        <s v="Jan"/>
        <s v="Feb"/>
        <s v="Mar"/>
      </sharedItems>
    </cacheField>
    <cacheField name="team_id" numFmtId="0">
      <sharedItems/>
    </cacheField>
    <cacheField name="channel" numFmtId="0">
      <sharedItems/>
    </cacheField>
    <cacheField name="resolution_hours" numFmtId="1">
      <sharedItems containsSemiMixedTypes="0" containsString="0" containsNumber="1" containsInteger="1" minValue="8" maxValue="40"/>
    </cacheField>
    <cacheField name="satisfaction" numFmtId="2">
      <sharedItems/>
    </cacheField>
    <cacheField name="department" numFmtId="0">
      <sharedItems count="2">
        <s v="Service"/>
        <s v="Technical"/>
      </sharedItems>
    </cacheField>
    <cacheField name="breach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  <s v="T1"/>
    <s v="Email"/>
    <n v="12"/>
    <s v="4"/>
    <x v="0"/>
    <n v="0"/>
  </r>
  <r>
    <n v="2"/>
    <x v="0"/>
    <s v="T2"/>
    <s v="Chat"/>
    <n v="28"/>
    <s v="3"/>
    <x v="0"/>
    <n v="1"/>
  </r>
  <r>
    <n v="3"/>
    <x v="0"/>
    <s v="T3"/>
    <s v="Phone"/>
    <n v="36"/>
    <s v="2"/>
    <x v="1"/>
    <n v="1"/>
  </r>
  <r>
    <n v="4"/>
    <x v="0"/>
    <s v="T4"/>
    <s v="Email"/>
    <n v="20"/>
    <s v="4"/>
    <x v="1"/>
    <n v="0"/>
  </r>
  <r>
    <n v="5"/>
    <x v="1"/>
    <s v="T1"/>
    <s v="Chat"/>
    <n v="8"/>
    <s v="5"/>
    <x v="0"/>
    <n v="0"/>
  </r>
  <r>
    <n v="6"/>
    <x v="1"/>
    <s v="T2"/>
    <s v="Phone"/>
    <n v="30"/>
    <s v="3"/>
    <x v="0"/>
    <n v="1"/>
  </r>
  <r>
    <n v="7"/>
    <x v="1"/>
    <s v="T3"/>
    <s v="Email"/>
    <n v="18"/>
    <s v="4"/>
    <x v="1"/>
    <n v="0"/>
  </r>
  <r>
    <n v="8"/>
    <x v="1"/>
    <s v="T4"/>
    <s v="Chat"/>
    <n v="40"/>
    <s v="2"/>
    <x v="1"/>
    <n v="1"/>
  </r>
  <r>
    <n v="9"/>
    <x v="2"/>
    <s v="T1"/>
    <s v="Phone"/>
    <n v="16"/>
    <s v="4"/>
    <x v="0"/>
    <n v="0"/>
  </r>
  <r>
    <n v="10"/>
    <x v="2"/>
    <s v="T2"/>
    <s v="Email"/>
    <n v="22"/>
    <s v="4"/>
    <x v="0"/>
    <n v="0"/>
  </r>
  <r>
    <n v="11"/>
    <x v="2"/>
    <s v="T3"/>
    <s v="Chat"/>
    <n v="32"/>
    <s v="3"/>
    <x v="1"/>
    <n v="1"/>
  </r>
  <r>
    <n v="12"/>
    <x v="2"/>
    <s v="T4"/>
    <s v="Phone"/>
    <n v="24"/>
    <s v="5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C6A496-24FE-45D6-99B0-F9B059F58A67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 chartFormat="7">
  <location ref="A5:D10" firstHeaderRow="1" firstDataRow="2" firstDataCol="1"/>
  <pivotFields count="8">
    <pivotField numFmtId="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1"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Average of resolution_hours" fld="4" subtotal="average" baseField="0" baseItem="0" numFmtId="1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26BC0697-2991-4194-8E9A-C3E53AAA8D7A}" autoFormatId="16" applyNumberFormats="0" applyBorderFormats="0" applyFontFormats="0" applyPatternFormats="0" applyAlignmentFormats="0" applyWidthHeightFormats="0">
  <queryTableRefresh nextId="7">
    <queryTableFields count="6">
      <queryTableField id="1" name="ticket_id" tableColumnId="1"/>
      <queryTableField id="2" name="month" tableColumnId="2"/>
      <queryTableField id="3" name="team_id" tableColumnId="3"/>
      <queryTableField id="4" name="channel" tableColumnId="4"/>
      <queryTableField id="5" name="resolution_hours" tableColumnId="5"/>
      <queryTableField id="6" name="satisfaction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headers="0" connectionId="1" xr16:uid="{40DE9E84-A4AB-4A50-99E0-67DCB2E7F4B6}" autoFormatId="16" applyNumberFormats="0" applyBorderFormats="0" applyFontFormats="0" applyPatternFormats="0" applyAlignmentFormats="0" applyWidthHeightFormats="0">
  <queryTableRefresh headersInLastRefresh="0"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6F482F98-C6E0-431B-A602-1F6EAA0D4254}" autoFormatId="16" applyNumberFormats="0" applyBorderFormats="0" applyFontFormats="0" applyPatternFormats="0" applyAlignmentFormats="0" applyWidthHeightFormats="0">
  <queryTableRefresh nextId="9" unboundColumnsRight="2">
    <queryTableFields count="8">
      <queryTableField id="1" name="ticket_id" tableColumnId="1"/>
      <queryTableField id="2" name="month" tableColumnId="2"/>
      <queryTableField id="3" name="team_id" tableColumnId="3"/>
      <queryTableField id="4" name="channel" tableColumnId="4"/>
      <queryTableField id="5" name="resolution_hours" tableColumnId="5"/>
      <queryTableField id="6" name="satisfaction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AC18D6-B16D-450B-BD50-DB2E3B66DB91}" name="tickets__2" displayName="tickets__2" ref="A1:F14" tableType="queryTable" totalsRowShown="0" headerRowDxfId="13" dataDxfId="23" headerRowBorderDxfId="21" tableBorderDxfId="22" totalsRowBorderDxfId="20">
  <autoFilter ref="A1:F14" xr:uid="{E1AC18D6-B16D-450B-BD50-DB2E3B66DB91}"/>
  <tableColumns count="6">
    <tableColumn id="1" xr3:uid="{2811B13B-6D5E-4CB6-BFAC-FDD840287A03}" uniqueName="1" name="ticket_id" queryTableFieldId="1" dataDxfId="19"/>
    <tableColumn id="2" xr3:uid="{0B2E5CD2-EF43-4285-AE89-C4DADB9F3DC4}" uniqueName="2" name="month" queryTableFieldId="2" dataDxfId="18"/>
    <tableColumn id="3" xr3:uid="{18436FD3-9356-4267-9323-B25F73DDC7FA}" uniqueName="3" name="team_id" queryTableFieldId="3" dataDxfId="17"/>
    <tableColumn id="4" xr3:uid="{0E039B62-FA47-4C21-B614-3C1DD1F0F050}" uniqueName="4" name="channel" queryTableFieldId="4" dataDxfId="16"/>
    <tableColumn id="5" xr3:uid="{EBC56C44-ECBE-4143-91EF-CC39ED8BE3E9}" uniqueName="5" name="resolution_hours" queryTableFieldId="5" dataDxfId="15"/>
    <tableColumn id="6" xr3:uid="{805083CB-12E6-41E3-BBEF-04BEE1A3A196}" uniqueName="6" name="satisfaction" queryTableFieldId="6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2FB3F8-B680-4C16-B05D-432F4EF02875}" name="teams" displayName="teams" ref="A1:C5" tableType="queryTable" headerRowCount="0" totalsRowShown="0" headerRowDxfId="25" dataDxfId="24" tableBorderDxfId="30" totalsRowBorderDxfId="29">
  <tableColumns count="3">
    <tableColumn id="1" xr3:uid="{828EE266-AE9C-41BB-B65D-21021DA8BE4D}" uniqueName="1" name="Column1" queryTableFieldId="1" dataDxfId="28"/>
    <tableColumn id="2" xr3:uid="{C7184964-55F8-4012-B661-6DCFF59CF244}" uniqueName="2" name="Column2" queryTableFieldId="2" dataDxfId="27"/>
    <tableColumn id="3" xr3:uid="{49F350DB-6435-4F4C-8247-2095835559BA}" uniqueName="3" name="Column3" queryTableFieldId="3" dataDxfId="26"/>
  </tableColumns>
  <tableStyleInfo name="TableStyleMedium7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BFF303-D107-4E4C-A76C-9353625F6368}" name="tickets__25" displayName="tickets__25" ref="A1:H13" tableType="queryTable" totalsRowShown="0" headerRowDxfId="12" dataDxfId="11" headerRowBorderDxfId="9" tableBorderDxfId="10" totalsRowBorderDxfId="8">
  <autoFilter ref="A1:H13" xr:uid="{D5BFF303-D107-4E4C-A76C-9353625F6368}"/>
  <tableColumns count="8">
    <tableColumn id="1" xr3:uid="{08458CB0-C580-488A-9D90-47037B444061}" uniqueName="1" name="ticket_id" queryTableFieldId="1" dataDxfId="7"/>
    <tableColumn id="2" xr3:uid="{DAB61F09-8F39-42DD-ADD1-3D0BEAF4F749}" uniqueName="2" name="month" queryTableFieldId="2" dataDxfId="5"/>
    <tableColumn id="3" xr3:uid="{533DC4AE-A03C-4511-B6DB-3CBF3D9CA206}" uniqueName="3" name="team_id" queryTableFieldId="3" dataDxfId="4"/>
    <tableColumn id="4" xr3:uid="{FA9E8D9B-24F4-4FB3-8AB1-E2FB5206776F}" uniqueName="4" name="channel" queryTableFieldId="4" dataDxfId="3"/>
    <tableColumn id="5" xr3:uid="{159CA815-537D-4ABB-8545-171854E94EA3}" uniqueName="5" name="resolution_hours" queryTableFieldId="5" dataDxfId="1"/>
    <tableColumn id="6" xr3:uid="{541C3FD1-23BF-48E5-A51C-B7EFE33532CC}" uniqueName="6" name="satisfaction" queryTableFieldId="6" dataDxfId="2"/>
    <tableColumn id="7" xr3:uid="{1894B04C-BA7B-4C30-9533-E40C8FAFB77A}" uniqueName="7" name="department" queryTableFieldId="7" dataDxfId="6">
      <calculatedColumnFormula>INDEX(Lookup!$C$2:$C$5,MATCH(tickets__25[[#This Row],[team_id]],Lookup!$A$2:$A$5,0))</calculatedColumnFormula>
    </tableColumn>
    <tableColumn id="8" xr3:uid="{72251492-67F7-4DB0-ACAE-3B1ECAC5BF93}" uniqueName="8" name="breach_flag" queryTableFieldId="8" dataDxfId="0">
      <calculatedColumnFormula>IF(tickets__25[[#This Row],[resolution_hours]]&gt;24,1,0)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54DEF-A56C-458E-943E-256B8E160F3D}">
  <dimension ref="A1:F15"/>
  <sheetViews>
    <sheetView workbookViewId="0">
      <selection sqref="A1:F14"/>
    </sheetView>
  </sheetViews>
  <sheetFormatPr defaultRowHeight="15" x14ac:dyDescent="0.25"/>
  <cols>
    <col min="1" max="1" width="13.28515625" bestFit="1" customWidth="1"/>
    <col min="2" max="2" width="11.42578125" bestFit="1" customWidth="1"/>
    <col min="3" max="3" width="12.85546875" bestFit="1" customWidth="1"/>
    <col min="4" max="4" width="12.5703125" bestFit="1" customWidth="1"/>
    <col min="5" max="5" width="20.85546875" bestFit="1" customWidth="1"/>
    <col min="6" max="6" width="15.7109375" bestFit="1" customWidth="1"/>
  </cols>
  <sheetData>
    <row r="1" spans="1:6" x14ac:dyDescent="0.2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4" t="s">
        <v>5</v>
      </c>
    </row>
    <row r="2" spans="1:6" x14ac:dyDescent="0.25">
      <c r="A2" s="15">
        <v>1</v>
      </c>
      <c r="B2" s="6" t="s">
        <v>6</v>
      </c>
      <c r="C2" s="6" t="s">
        <v>7</v>
      </c>
      <c r="D2" s="6" t="s">
        <v>8</v>
      </c>
      <c r="E2" s="16">
        <v>12</v>
      </c>
      <c r="F2" s="7" t="s">
        <v>9</v>
      </c>
    </row>
    <row r="3" spans="1:6" x14ac:dyDescent="0.25">
      <c r="A3" s="15">
        <v>2</v>
      </c>
      <c r="B3" s="6" t="s">
        <v>6</v>
      </c>
      <c r="C3" s="6" t="s">
        <v>10</v>
      </c>
      <c r="D3" s="6" t="s">
        <v>11</v>
      </c>
      <c r="E3" s="16">
        <v>28</v>
      </c>
      <c r="F3" s="7" t="s">
        <v>12</v>
      </c>
    </row>
    <row r="4" spans="1:6" x14ac:dyDescent="0.25">
      <c r="A4" s="15">
        <v>3</v>
      </c>
      <c r="B4" s="6" t="s">
        <v>6</v>
      </c>
      <c r="C4" s="6" t="s">
        <v>13</v>
      </c>
      <c r="D4" s="6" t="s">
        <v>14</v>
      </c>
      <c r="E4" s="16">
        <v>36</v>
      </c>
      <c r="F4" s="7" t="s">
        <v>15</v>
      </c>
    </row>
    <row r="5" spans="1:6" x14ac:dyDescent="0.25">
      <c r="A5" s="15">
        <v>4</v>
      </c>
      <c r="B5" s="6" t="s">
        <v>6</v>
      </c>
      <c r="C5" s="6" t="s">
        <v>16</v>
      </c>
      <c r="D5" s="6" t="s">
        <v>8</v>
      </c>
      <c r="E5" s="16">
        <v>20</v>
      </c>
      <c r="F5" s="7" t="s">
        <v>9</v>
      </c>
    </row>
    <row r="6" spans="1:6" x14ac:dyDescent="0.25">
      <c r="A6" s="15">
        <v>5</v>
      </c>
      <c r="B6" s="6" t="s">
        <v>17</v>
      </c>
      <c r="C6" s="6" t="s">
        <v>7</v>
      </c>
      <c r="D6" s="6" t="s">
        <v>11</v>
      </c>
      <c r="E6" s="16">
        <v>8</v>
      </c>
      <c r="F6" s="7" t="s">
        <v>18</v>
      </c>
    </row>
    <row r="7" spans="1:6" x14ac:dyDescent="0.25">
      <c r="A7" s="15">
        <v>6</v>
      </c>
      <c r="B7" s="6" t="s">
        <v>17</v>
      </c>
      <c r="C7" s="6" t="s">
        <v>10</v>
      </c>
      <c r="D7" s="6" t="s">
        <v>14</v>
      </c>
      <c r="E7" s="16">
        <v>30</v>
      </c>
      <c r="F7" s="7" t="s">
        <v>12</v>
      </c>
    </row>
    <row r="8" spans="1:6" x14ac:dyDescent="0.25">
      <c r="A8" s="15">
        <v>7</v>
      </c>
      <c r="B8" s="6" t="s">
        <v>17</v>
      </c>
      <c r="C8" s="6" t="s">
        <v>13</v>
      </c>
      <c r="D8" s="6" t="s">
        <v>8</v>
      </c>
      <c r="E8" s="16">
        <v>18</v>
      </c>
      <c r="F8" s="7" t="s">
        <v>9</v>
      </c>
    </row>
    <row r="9" spans="1:6" x14ac:dyDescent="0.25">
      <c r="A9" s="15">
        <v>8</v>
      </c>
      <c r="B9" s="6" t="s">
        <v>17</v>
      </c>
      <c r="C9" s="6" t="s">
        <v>16</v>
      </c>
      <c r="D9" s="6" t="s">
        <v>11</v>
      </c>
      <c r="E9" s="16">
        <v>40</v>
      </c>
      <c r="F9" s="7" t="s">
        <v>15</v>
      </c>
    </row>
    <row r="10" spans="1:6" x14ac:dyDescent="0.25">
      <c r="A10" s="15">
        <v>9</v>
      </c>
      <c r="B10" s="6" t="s">
        <v>19</v>
      </c>
      <c r="C10" s="6" t="s">
        <v>7</v>
      </c>
      <c r="D10" s="6" t="s">
        <v>14</v>
      </c>
      <c r="E10" s="16">
        <v>16</v>
      </c>
      <c r="F10" s="7" t="s">
        <v>9</v>
      </c>
    </row>
    <row r="11" spans="1:6" x14ac:dyDescent="0.25">
      <c r="A11" s="15">
        <v>10</v>
      </c>
      <c r="B11" s="6" t="s">
        <v>19</v>
      </c>
      <c r="C11" s="6" t="s">
        <v>10</v>
      </c>
      <c r="D11" s="6" t="s">
        <v>8</v>
      </c>
      <c r="E11" s="16">
        <v>22</v>
      </c>
      <c r="F11" s="7" t="s">
        <v>9</v>
      </c>
    </row>
    <row r="12" spans="1:6" x14ac:dyDescent="0.25">
      <c r="A12" s="15">
        <v>11</v>
      </c>
      <c r="B12" s="6" t="s">
        <v>19</v>
      </c>
      <c r="C12" s="6" t="s">
        <v>13</v>
      </c>
      <c r="D12" s="6" t="s">
        <v>11</v>
      </c>
      <c r="E12" s="16">
        <v>32</v>
      </c>
      <c r="F12" s="7" t="s">
        <v>12</v>
      </c>
    </row>
    <row r="13" spans="1:6" x14ac:dyDescent="0.25">
      <c r="A13" s="15">
        <v>12</v>
      </c>
      <c r="B13" s="6" t="s">
        <v>19</v>
      </c>
      <c r="C13" s="6" t="s">
        <v>16</v>
      </c>
      <c r="D13" s="6" t="s">
        <v>14</v>
      </c>
      <c r="E13" s="16">
        <v>24</v>
      </c>
      <c r="F13" s="7" t="s">
        <v>18</v>
      </c>
    </row>
    <row r="14" spans="1:6" x14ac:dyDescent="0.25">
      <c r="A14" s="17">
        <v>12</v>
      </c>
      <c r="B14" s="9" t="s">
        <v>19</v>
      </c>
      <c r="C14" s="9" t="s">
        <v>16</v>
      </c>
      <c r="D14" s="9" t="s">
        <v>14</v>
      </c>
      <c r="E14" s="18">
        <v>24</v>
      </c>
      <c r="F14" s="10">
        <v>5</v>
      </c>
    </row>
    <row r="15" spans="1:6" x14ac:dyDescent="0.25">
      <c r="A15" s="11"/>
      <c r="B15" s="11"/>
      <c r="C15" s="11"/>
      <c r="D15" s="11"/>
      <c r="E15" s="11"/>
      <c r="F15" s="1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D1EA9-F7B5-4879-A38C-19F1099EC462}">
  <dimension ref="A1:C5"/>
  <sheetViews>
    <sheetView workbookViewId="0">
      <selection activeCell="C18" sqref="C18"/>
    </sheetView>
  </sheetViews>
  <sheetFormatPr defaultRowHeight="15" x14ac:dyDescent="0.25"/>
  <cols>
    <col min="1" max="1" width="11.140625" bestFit="1" customWidth="1"/>
    <col min="2" max="2" width="12.140625" bestFit="1" customWidth="1"/>
    <col min="3" max="3" width="11.5703125" bestFit="1" customWidth="1"/>
  </cols>
  <sheetData>
    <row r="1" spans="1:3" x14ac:dyDescent="0.25">
      <c r="A1" s="2" t="s">
        <v>2</v>
      </c>
      <c r="B1" s="3" t="s">
        <v>20</v>
      </c>
      <c r="C1" s="4" t="s">
        <v>21</v>
      </c>
    </row>
    <row r="2" spans="1:3" x14ac:dyDescent="0.25">
      <c r="A2" s="5" t="s">
        <v>7</v>
      </c>
      <c r="B2" s="6" t="s">
        <v>22</v>
      </c>
      <c r="C2" s="7" t="s">
        <v>23</v>
      </c>
    </row>
    <row r="3" spans="1:3" x14ac:dyDescent="0.25">
      <c r="A3" s="5" t="s">
        <v>10</v>
      </c>
      <c r="B3" s="6" t="s">
        <v>24</v>
      </c>
      <c r="C3" s="7" t="s">
        <v>23</v>
      </c>
    </row>
    <row r="4" spans="1:3" x14ac:dyDescent="0.25">
      <c r="A4" s="5" t="s">
        <v>13</v>
      </c>
      <c r="B4" s="6" t="s">
        <v>25</v>
      </c>
      <c r="C4" s="7" t="s">
        <v>26</v>
      </c>
    </row>
    <row r="5" spans="1:3" x14ac:dyDescent="0.25">
      <c r="A5" s="8" t="s">
        <v>16</v>
      </c>
      <c r="B5" s="9" t="s">
        <v>27</v>
      </c>
      <c r="C5" s="10" t="s">
        <v>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EC4B9-F996-4F1D-96C6-E99A2CB0D99A}">
  <dimension ref="A1:H20"/>
  <sheetViews>
    <sheetView workbookViewId="0">
      <selection activeCell="D11" sqref="D11"/>
    </sheetView>
  </sheetViews>
  <sheetFormatPr defaultRowHeight="15" x14ac:dyDescent="0.25"/>
  <cols>
    <col min="1" max="1" width="13.28515625" bestFit="1" customWidth="1"/>
    <col min="2" max="2" width="11.42578125" bestFit="1" customWidth="1"/>
    <col min="3" max="3" width="12.85546875" bestFit="1" customWidth="1"/>
    <col min="4" max="4" width="12.5703125" bestFit="1" customWidth="1"/>
    <col min="5" max="5" width="20.85546875" bestFit="1" customWidth="1"/>
    <col min="6" max="6" width="15.7109375" bestFit="1" customWidth="1"/>
    <col min="7" max="7" width="16.140625" bestFit="1" customWidth="1"/>
    <col min="8" max="8" width="15.85546875" bestFit="1" customWidth="1"/>
  </cols>
  <sheetData>
    <row r="1" spans="1:8" x14ac:dyDescent="0.2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3" t="s">
        <v>21</v>
      </c>
      <c r="H1" s="13" t="s">
        <v>30</v>
      </c>
    </row>
    <row r="2" spans="1:8" x14ac:dyDescent="0.25">
      <c r="A2" s="23">
        <v>1</v>
      </c>
      <c r="B2" s="24" t="s">
        <v>6</v>
      </c>
      <c r="C2" s="6" t="s">
        <v>7</v>
      </c>
      <c r="D2" s="6" t="s">
        <v>8</v>
      </c>
      <c r="E2" s="26">
        <v>12</v>
      </c>
      <c r="F2" s="25" t="s">
        <v>9</v>
      </c>
      <c r="G2" s="22" t="str">
        <f>INDEX(Lookup!$C$2:$C$5,MATCH(tickets__25[[#This Row],[team_id]],Lookup!$A$2:$A$5,0))</f>
        <v>Service</v>
      </c>
      <c r="H2" s="16">
        <f>IF(tickets__25[[#This Row],[resolution_hours]]&gt;24,1,0)</f>
        <v>0</v>
      </c>
    </row>
    <row r="3" spans="1:8" x14ac:dyDescent="0.25">
      <c r="A3" s="23">
        <v>2</v>
      </c>
      <c r="B3" s="24" t="s">
        <v>6</v>
      </c>
      <c r="C3" s="6" t="s">
        <v>10</v>
      </c>
      <c r="D3" s="6" t="s">
        <v>11</v>
      </c>
      <c r="E3" s="26">
        <v>28</v>
      </c>
      <c r="F3" s="25" t="s">
        <v>12</v>
      </c>
      <c r="G3" s="6" t="str">
        <f>INDEX(Lookup!$C$2:$C$5,MATCH(tickets__25[[#This Row],[team_id]],Lookup!$A$2:$A$5,0))</f>
        <v>Service</v>
      </c>
      <c r="H3" s="16">
        <f>IF(tickets__25[[#This Row],[resolution_hours]]&gt;24,1,0)</f>
        <v>1</v>
      </c>
    </row>
    <row r="4" spans="1:8" x14ac:dyDescent="0.25">
      <c r="A4" s="23">
        <v>3</v>
      </c>
      <c r="B4" s="24" t="s">
        <v>6</v>
      </c>
      <c r="C4" s="6" t="s">
        <v>13</v>
      </c>
      <c r="D4" s="6" t="s">
        <v>14</v>
      </c>
      <c r="E4" s="26">
        <v>36</v>
      </c>
      <c r="F4" s="25" t="s">
        <v>15</v>
      </c>
      <c r="G4" s="6" t="str">
        <f>INDEX(Lookup!$C$2:$C$5,MATCH(tickets__25[[#This Row],[team_id]],Lookup!$A$2:$A$5,0))</f>
        <v>Technical</v>
      </c>
      <c r="H4" s="16">
        <f>IF(tickets__25[[#This Row],[resolution_hours]]&gt;24,1,0)</f>
        <v>1</v>
      </c>
    </row>
    <row r="5" spans="1:8" x14ac:dyDescent="0.25">
      <c r="A5" s="23">
        <v>4</v>
      </c>
      <c r="B5" s="24" t="s">
        <v>6</v>
      </c>
      <c r="C5" s="6" t="s">
        <v>16</v>
      </c>
      <c r="D5" s="6" t="s">
        <v>8</v>
      </c>
      <c r="E5" s="26">
        <v>20</v>
      </c>
      <c r="F5" s="25" t="s">
        <v>9</v>
      </c>
      <c r="G5" s="6" t="str">
        <f>INDEX(Lookup!$C$2:$C$5,MATCH(tickets__25[[#This Row],[team_id]],Lookup!$A$2:$A$5,0))</f>
        <v>Technical</v>
      </c>
      <c r="H5" s="16">
        <f>IF(tickets__25[[#This Row],[resolution_hours]]&gt;24,1,0)</f>
        <v>0</v>
      </c>
    </row>
    <row r="6" spans="1:8" x14ac:dyDescent="0.25">
      <c r="A6" s="23">
        <v>5</v>
      </c>
      <c r="B6" s="24" t="s">
        <v>17</v>
      </c>
      <c r="C6" s="6" t="s">
        <v>7</v>
      </c>
      <c r="D6" s="6" t="s">
        <v>11</v>
      </c>
      <c r="E6" s="26">
        <v>8</v>
      </c>
      <c r="F6" s="25" t="s">
        <v>18</v>
      </c>
      <c r="G6" s="6" t="str">
        <f>INDEX(Lookup!$C$2:$C$5,MATCH(tickets__25[[#This Row],[team_id]],Lookup!$A$2:$A$5,0))</f>
        <v>Service</v>
      </c>
      <c r="H6" s="16">
        <f>IF(tickets__25[[#This Row],[resolution_hours]]&gt;24,1,0)</f>
        <v>0</v>
      </c>
    </row>
    <row r="7" spans="1:8" x14ac:dyDescent="0.25">
      <c r="A7" s="23">
        <v>6</v>
      </c>
      <c r="B7" s="24" t="s">
        <v>17</v>
      </c>
      <c r="C7" s="6" t="s">
        <v>10</v>
      </c>
      <c r="D7" s="6" t="s">
        <v>14</v>
      </c>
      <c r="E7" s="26">
        <v>30</v>
      </c>
      <c r="F7" s="25" t="s">
        <v>12</v>
      </c>
      <c r="G7" s="6" t="str">
        <f>INDEX(Lookup!$C$2:$C$5,MATCH(tickets__25[[#This Row],[team_id]],Lookup!$A$2:$A$5,0))</f>
        <v>Service</v>
      </c>
      <c r="H7" s="16">
        <f>IF(tickets__25[[#This Row],[resolution_hours]]&gt;24,1,0)</f>
        <v>1</v>
      </c>
    </row>
    <row r="8" spans="1:8" x14ac:dyDescent="0.25">
      <c r="A8" s="23">
        <v>7</v>
      </c>
      <c r="B8" s="24" t="s">
        <v>17</v>
      </c>
      <c r="C8" s="6" t="s">
        <v>13</v>
      </c>
      <c r="D8" s="6" t="s">
        <v>8</v>
      </c>
      <c r="E8" s="26">
        <v>18</v>
      </c>
      <c r="F8" s="25" t="s">
        <v>9</v>
      </c>
      <c r="G8" s="6" t="str">
        <f>INDEX(Lookup!$C$2:$C$5,MATCH(tickets__25[[#This Row],[team_id]],Lookup!$A$2:$A$5,0))</f>
        <v>Technical</v>
      </c>
      <c r="H8" s="16">
        <f>IF(tickets__25[[#This Row],[resolution_hours]]&gt;24,1,0)</f>
        <v>0</v>
      </c>
    </row>
    <row r="9" spans="1:8" x14ac:dyDescent="0.25">
      <c r="A9" s="23">
        <v>8</v>
      </c>
      <c r="B9" s="24" t="s">
        <v>17</v>
      </c>
      <c r="C9" s="6" t="s">
        <v>16</v>
      </c>
      <c r="D9" s="6" t="s">
        <v>11</v>
      </c>
      <c r="E9" s="26">
        <v>40</v>
      </c>
      <c r="F9" s="25" t="s">
        <v>15</v>
      </c>
      <c r="G9" s="6" t="str">
        <f>INDEX(Lookup!$C$2:$C$5,MATCH(tickets__25[[#This Row],[team_id]],Lookup!$A$2:$A$5,0))</f>
        <v>Technical</v>
      </c>
      <c r="H9" s="16">
        <f>IF(tickets__25[[#This Row],[resolution_hours]]&gt;24,1,0)</f>
        <v>1</v>
      </c>
    </row>
    <row r="10" spans="1:8" x14ac:dyDescent="0.25">
      <c r="A10" s="23">
        <v>9</v>
      </c>
      <c r="B10" s="24" t="s">
        <v>19</v>
      </c>
      <c r="C10" s="6" t="s">
        <v>7</v>
      </c>
      <c r="D10" s="6" t="s">
        <v>14</v>
      </c>
      <c r="E10" s="26">
        <v>16</v>
      </c>
      <c r="F10" s="25" t="s">
        <v>9</v>
      </c>
      <c r="G10" s="6" t="str">
        <f>INDEX(Lookup!$C$2:$C$5,MATCH(tickets__25[[#This Row],[team_id]],Lookup!$A$2:$A$5,0))</f>
        <v>Service</v>
      </c>
      <c r="H10" s="16">
        <f>IF(tickets__25[[#This Row],[resolution_hours]]&gt;24,1,0)</f>
        <v>0</v>
      </c>
    </row>
    <row r="11" spans="1:8" x14ac:dyDescent="0.25">
      <c r="A11" s="23">
        <v>10</v>
      </c>
      <c r="B11" s="24" t="s">
        <v>19</v>
      </c>
      <c r="C11" s="6" t="s">
        <v>10</v>
      </c>
      <c r="D11" s="6" t="s">
        <v>8</v>
      </c>
      <c r="E11" s="26">
        <v>22</v>
      </c>
      <c r="F11" s="25" t="s">
        <v>9</v>
      </c>
      <c r="G11" s="6" t="str">
        <f>INDEX(Lookup!$C$2:$C$5,MATCH(tickets__25[[#This Row],[team_id]],Lookup!$A$2:$A$5,0))</f>
        <v>Service</v>
      </c>
      <c r="H11" s="16">
        <f>IF(tickets__25[[#This Row],[resolution_hours]]&gt;24,1,0)</f>
        <v>0</v>
      </c>
    </row>
    <row r="12" spans="1:8" x14ac:dyDescent="0.25">
      <c r="A12" s="23">
        <v>11</v>
      </c>
      <c r="B12" s="24" t="s">
        <v>19</v>
      </c>
      <c r="C12" s="6" t="s">
        <v>13</v>
      </c>
      <c r="D12" s="6" t="s">
        <v>11</v>
      </c>
      <c r="E12" s="26">
        <v>32</v>
      </c>
      <c r="F12" s="25" t="s">
        <v>12</v>
      </c>
      <c r="G12" s="6" t="str">
        <f>INDEX(Lookup!$C$2:$C$5,MATCH(tickets__25[[#This Row],[team_id]],Lookup!$A$2:$A$5,0))</f>
        <v>Technical</v>
      </c>
      <c r="H12" s="16">
        <f>IF(tickets__25[[#This Row],[resolution_hours]]&gt;24,1,0)</f>
        <v>1</v>
      </c>
    </row>
    <row r="13" spans="1:8" x14ac:dyDescent="0.25">
      <c r="A13" s="23">
        <v>12</v>
      </c>
      <c r="B13" s="24" t="s">
        <v>19</v>
      </c>
      <c r="C13" s="6" t="s">
        <v>16</v>
      </c>
      <c r="D13" s="6" t="s">
        <v>14</v>
      </c>
      <c r="E13" s="26">
        <v>24</v>
      </c>
      <c r="F13" s="25" t="s">
        <v>18</v>
      </c>
      <c r="G13" s="9" t="str">
        <f>INDEX(Lookup!$C$2:$C$5,MATCH(tickets__25[[#This Row],[team_id]],Lookup!$A$2:$A$5,0))</f>
        <v>Technical</v>
      </c>
      <c r="H13" s="16">
        <f>IF(tickets__25[[#This Row],[resolution_hours]]&gt;24,1,0)</f>
        <v>0</v>
      </c>
    </row>
    <row r="18" spans="1:3" x14ac:dyDescent="0.25">
      <c r="A18" s="20" t="s">
        <v>28</v>
      </c>
      <c r="B18" s="20"/>
      <c r="C18" s="19">
        <f>COUNTA(tickets__2[ticket_id])</f>
        <v>13</v>
      </c>
    </row>
    <row r="20" spans="1:3" x14ac:dyDescent="0.25">
      <c r="A20" s="21" t="s">
        <v>29</v>
      </c>
      <c r="B20" s="21"/>
      <c r="C20" s="1">
        <f>COUNTA(tickets__25[ticket_id])</f>
        <v>12</v>
      </c>
    </row>
  </sheetData>
  <mergeCells count="2">
    <mergeCell ref="A18:B18"/>
    <mergeCell ref="A20:B20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3B42D-7EF1-43A1-A8B3-55C3B0669053}">
  <dimension ref="A1:G10"/>
  <sheetViews>
    <sheetView tabSelected="1" workbookViewId="0">
      <selection activeCell="Q11" sqref="Q11"/>
    </sheetView>
  </sheetViews>
  <sheetFormatPr defaultRowHeight="15" x14ac:dyDescent="0.25"/>
  <cols>
    <col min="1" max="1" width="26.7109375" bestFit="1" customWidth="1"/>
    <col min="2" max="2" width="7.42578125" bestFit="1" customWidth="1"/>
    <col min="3" max="3" width="9.28515625" bestFit="1" customWidth="1"/>
    <col min="4" max="4" width="11.28515625" bestFit="1" customWidth="1"/>
  </cols>
  <sheetData>
    <row r="1" spans="1:7" x14ac:dyDescent="0.25">
      <c r="A1" s="27" t="s">
        <v>32</v>
      </c>
      <c r="B1" s="28"/>
      <c r="C1" s="28"/>
      <c r="D1" s="29"/>
      <c r="E1" s="16" t="s">
        <v>8</v>
      </c>
      <c r="F1" s="16" t="s">
        <v>11</v>
      </c>
      <c r="G1" s="16" t="s">
        <v>14</v>
      </c>
    </row>
    <row r="2" spans="1:7" x14ac:dyDescent="0.25">
      <c r="A2" s="27" t="s">
        <v>31</v>
      </c>
      <c r="B2" s="28"/>
      <c r="C2" s="28"/>
      <c r="D2" s="29"/>
      <c r="E2" s="16">
        <f>COUNTIFS(tickets__25[channel],"=Email",tickets__25[breach_flag],"=1")</f>
        <v>0</v>
      </c>
      <c r="F2" s="16">
        <f>COUNTIFS(tickets__25[channel],"=Chat",tickets__25[breach_flag],"=1")</f>
        <v>3</v>
      </c>
      <c r="G2" s="16">
        <f>COUNTIFS(tickets__25[channel],"=Phone",tickets__25[breach_flag],"=1")</f>
        <v>2</v>
      </c>
    </row>
    <row r="5" spans="1:7" x14ac:dyDescent="0.25">
      <c r="A5" s="30" t="s">
        <v>34</v>
      </c>
    </row>
    <row r="6" spans="1:7" x14ac:dyDescent="0.25">
      <c r="B6" t="s">
        <v>23</v>
      </c>
      <c r="C6" t="s">
        <v>26</v>
      </c>
      <c r="D6" t="s">
        <v>33</v>
      </c>
    </row>
    <row r="7" spans="1:7" x14ac:dyDescent="0.25">
      <c r="A7" s="31" t="s">
        <v>6</v>
      </c>
      <c r="B7" s="32">
        <v>20</v>
      </c>
      <c r="C7" s="32">
        <v>28</v>
      </c>
      <c r="D7" s="32">
        <v>24</v>
      </c>
    </row>
    <row r="8" spans="1:7" x14ac:dyDescent="0.25">
      <c r="A8" s="31" t="s">
        <v>17</v>
      </c>
      <c r="B8" s="32">
        <v>19</v>
      </c>
      <c r="C8" s="32">
        <v>29</v>
      </c>
      <c r="D8" s="32">
        <v>24</v>
      </c>
    </row>
    <row r="9" spans="1:7" x14ac:dyDescent="0.25">
      <c r="A9" s="31" t="s">
        <v>19</v>
      </c>
      <c r="B9" s="32">
        <v>19</v>
      </c>
      <c r="C9" s="32">
        <v>28</v>
      </c>
      <c r="D9" s="32">
        <v>23.5</v>
      </c>
    </row>
    <row r="10" spans="1:7" x14ac:dyDescent="0.25">
      <c r="A10" s="31" t="s">
        <v>33</v>
      </c>
      <c r="B10" s="32">
        <v>19.333333333333332</v>
      </c>
      <c r="C10" s="32">
        <v>28.333333333333332</v>
      </c>
      <c r="D10" s="32">
        <v>23.833333333333332</v>
      </c>
    </row>
  </sheetData>
  <mergeCells count="2">
    <mergeCell ref="A1:D1"/>
    <mergeCell ref="A2:D2"/>
  </mergeCell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27FC75-BA62-4131-99FB-B80C904561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Lookup</vt:lpstr>
      <vt:lpstr>Clean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 Shankar</dc:creator>
  <cp:lastModifiedBy>Niv Shankar</cp:lastModifiedBy>
  <dcterms:created xsi:type="dcterms:W3CDTF">2026-10-03T04:40:21Z</dcterms:created>
  <dcterms:modified xsi:type="dcterms:W3CDTF">2026-10-03T05:27:55Z</dcterms:modified>
</cp:coreProperties>
</file>